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2"/>
  <workbookPr/>
  <mc:AlternateContent xmlns:mc="http://schemas.openxmlformats.org/markup-compatibility/2006">
    <mc:Choice Requires="x15">
      <x15ac:absPath xmlns:x15ac="http://schemas.microsoft.com/office/spreadsheetml/2010/11/ac" url="/Users/Pia/Desktop/1. WeLearn/1. Cursos/Maestría en Dirección de Sistemas y TI/Modelos Financieros y Evaluación de Proyectos/Evidencia de Apz calificada/"/>
    </mc:Choice>
  </mc:AlternateContent>
  <xr:revisionPtr revIDLastSave="0" documentId="11_D7A64A28C213462A9021074246AD1E8DE5C1D788" xr6:coauthVersionLast="47" xr6:coauthVersionMax="47" xr10:uidLastSave="{00000000-0000-0000-0000-000000000000}"/>
  <bookViews>
    <workbookView xWindow="0" yWindow="460" windowWidth="22620" windowHeight="13500" tabRatio="739" xr2:uid="{00000000-000D-0000-FFFF-FFFF00000000}"/>
  </bookViews>
  <sheets>
    <sheet name="Caso" sheetId="18" r:id="rId1"/>
    <sheet name="EEFF Tecnologica del Perú" sheetId="9" r:id="rId2"/>
    <sheet name="Calculo Wacc" sheetId="17" r:id="rId3"/>
  </sheets>
  <definedNames>
    <definedName name="ch5data" localSheetId="0">#REF!</definedName>
    <definedName name="ch5data">#REF!</definedName>
  </definedNames>
  <calcPr calcId="150001" concurrentCalc="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C7" i="17" l="1"/>
  <c r="B47" i="9"/>
  <c r="C47" i="9"/>
  <c r="D47" i="9"/>
  <c r="F47" i="9"/>
  <c r="E47" i="9"/>
</calcChain>
</file>

<file path=xl/sharedStrings.xml><?xml version="1.0" encoding="utf-8"?>
<sst xmlns="http://schemas.openxmlformats.org/spreadsheetml/2006/main" count="64" uniqueCount="63">
  <si>
    <r>
      <rPr>
        <b/>
        <sz val="14"/>
        <rFont val="Arial"/>
        <family val="2"/>
      </rPr>
      <t>Caso Tecnologica del Perú:</t>
    </r>
    <r>
      <rPr>
        <sz val="14"/>
        <rFont val="Arial"/>
        <family val="2"/>
      </rPr>
      <t xml:space="preserve">
La empresa Tecnológica del Perú es una empresa de tecnologías, la cual cuenta con más de 10 años de experiencia en el rubro de soluciones en tecnología de la información. Esta empresa realiza consultorías e implementaciones, empleando prácticas de gestión tecnológica, teniendo en cuenta los objetivos del cliente.
A raíz de la pandemia, la empresa ha impulsado las ventas a través de su página web, incorporando la venta online como un mecanismo importante de venta y con un costo menor para la empresa. De esta manera, la empresa no solo ha enfrentado la pandemia, también ha tomado un impulso que le permita convertirse en una de las empresas más importantes del sector.
Para el trabajo, contarás con un archivo Excel donde estarán los estados financieros de la empresa desde el año 2019 al 2023. Con esta información se puede realizar los análisis solicitados y detallados en la ficha del trabajo final.
</t>
    </r>
  </si>
  <si>
    <t>TECNOLOGICA DEL PERÚ</t>
  </si>
  <si>
    <t>Completar la información marcada en color amarillo</t>
  </si>
  <si>
    <t>Información Financiera anual (millones de Soles)</t>
  </si>
  <si>
    <t>Estado de resultados</t>
  </si>
  <si>
    <t>Ventas netas</t>
  </si>
  <si>
    <t>Costo de ventas</t>
  </si>
  <si>
    <t>Utilidad Bruta</t>
  </si>
  <si>
    <t>Gastos de ventas, adm y gen.</t>
  </si>
  <si>
    <t>EBITDA</t>
  </si>
  <si>
    <t>Depreciación</t>
  </si>
  <si>
    <t>Beneficio operativo</t>
  </si>
  <si>
    <t>Ingreso por intereses</t>
  </si>
  <si>
    <t>Gastos por intereses</t>
  </si>
  <si>
    <t>Utilidad antes de impuestos</t>
  </si>
  <si>
    <t>Impuestos (30%)</t>
  </si>
  <si>
    <t>Utilidad Neta</t>
  </si>
  <si>
    <t>Dividendos (40%)</t>
  </si>
  <si>
    <t>A Utilidades Retenidas (60%)</t>
  </si>
  <si>
    <t>Balance general</t>
  </si>
  <si>
    <t>Efectivo</t>
  </si>
  <si>
    <t>Inversiones temporales</t>
  </si>
  <si>
    <t>Inventario</t>
  </si>
  <si>
    <t>Cuentas por cobrar</t>
  </si>
  <si>
    <t>Total activo circulante</t>
  </si>
  <si>
    <t>PP&amp;E neto</t>
  </si>
  <si>
    <t>Total activos</t>
  </si>
  <si>
    <t>Cuentas por pagar</t>
  </si>
  <si>
    <t>Gastos acumulados</t>
  </si>
  <si>
    <t>Deuda a corto plazo</t>
  </si>
  <si>
    <t>Total pasivo circulante</t>
  </si>
  <si>
    <t>Deuda a largo plazo</t>
  </si>
  <si>
    <t>Total pasivo</t>
  </si>
  <si>
    <t>Acciones comunes</t>
  </si>
  <si>
    <t>Utilidades retenidas</t>
  </si>
  <si>
    <t>Total patrimonio</t>
  </si>
  <si>
    <t>Total pasivo y patrimonio</t>
  </si>
  <si>
    <t>Cálculo del Flujo de Caja Libre Histórico (montos en millones de dólares)</t>
  </si>
  <si>
    <t>Beneficio Operativo</t>
  </si>
  <si>
    <t>Impuesto sobre Beneficio Operativo (30%)</t>
  </si>
  <si>
    <t>NOPAT</t>
  </si>
  <si>
    <t>Capital de Trabajo Operativo Neto</t>
  </si>
  <si>
    <t>Activos Netos Operativos de largo plazo</t>
  </si>
  <si>
    <t>Capital operativo neto</t>
  </si>
  <si>
    <t>Inversión neta</t>
  </si>
  <si>
    <t>Flujo de caja libre</t>
  </si>
  <si>
    <t>ROIC</t>
  </si>
  <si>
    <t>WACC</t>
  </si>
  <si>
    <t>EVA</t>
  </si>
  <si>
    <t>Cálculo del Costo de Capital Tecnologica del Perú</t>
  </si>
  <si>
    <t>Calcule con los datos del caso el el wacc historico de la empresa. Asumir que la deuda de la empresa esta a valor de mercado.</t>
  </si>
  <si>
    <t>No de acciones</t>
  </si>
  <si>
    <t>Precio por acción</t>
  </si>
  <si>
    <t>Capitalización de mercado</t>
  </si>
  <si>
    <t>Deuda</t>
  </si>
  <si>
    <t>Peso de la deuda</t>
  </si>
  <si>
    <t>Peso del Patrimonio a valor de mercado</t>
  </si>
  <si>
    <t>Beta de la empresa</t>
  </si>
  <si>
    <t>Tasa libre de riesgo</t>
  </si>
  <si>
    <t>Prima de riesgo mercado</t>
  </si>
  <si>
    <t>Riesgo Pais</t>
  </si>
  <si>
    <t>Costo de capital (CAPM)</t>
  </si>
  <si>
    <t>Costo de la deuda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</si>
</sst>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
    <numFmt numFmtId="166" formatCode="0.0"/>
    <numFmt numFmtId="167" formatCode="_(* #,##0.0_);_(* \(#,##0.0\);_(* &quot;-&quot;??_);_(@_)"/>
    <numFmt numFmtId="168" formatCode="_(* #,##0_);_(* \(#,##0\);_(* &quot;-&quot;??_);_(@_)"/>
  </numFmts>
  <fonts count="16">
    <font>
      <sz val="10"/>
      <name val="Arial"/>
    </font>
    <font>
      <sz val="10"/>
      <name val="Arial"/>
      <family val="2"/>
    </font>
    <font>
      <b/>
      <sz val="12"/>
      <name val="Arial"/>
      <family val="2"/>
    </font>
    <font>
      <b/>
      <sz val="14"/>
      <name val="Arial"/>
      <family val="2"/>
    </font>
    <font>
      <b/>
      <u/>
      <sz val="12"/>
      <name val="Arial"/>
      <family val="2"/>
    </font>
    <font>
      <sz val="12"/>
      <name val="Arial"/>
      <family val="2"/>
    </font>
    <font>
      <sz val="12"/>
      <color indexed="8"/>
      <name val="Arial"/>
      <family val="2"/>
    </font>
    <font>
      <u/>
      <sz val="12"/>
      <color indexed="8"/>
      <name val="Arial"/>
      <family val="2"/>
    </font>
    <font>
      <b/>
      <sz val="12"/>
      <color indexed="8"/>
      <name val="Arial"/>
      <family val="2"/>
    </font>
    <font>
      <u val="double"/>
      <sz val="12"/>
      <color indexed="8"/>
      <name val="Arial"/>
      <family val="2"/>
    </font>
    <font>
      <b/>
      <i/>
      <u/>
      <sz val="14"/>
      <color indexed="12"/>
      <name val="Arial"/>
      <family val="2"/>
    </font>
    <font>
      <sz val="11"/>
      <name val="Arial"/>
      <family val="2"/>
    </font>
    <font>
      <b/>
      <sz val="10"/>
      <name val="Arial"/>
      <family val="2"/>
    </font>
    <font>
      <b/>
      <sz val="8"/>
      <name val="Arial"/>
      <family val="2"/>
    </font>
    <font>
      <sz val="9"/>
      <name val="Arial"/>
      <family val="2"/>
    </font>
    <font>
      <sz val="14"/>
      <name val="Arial"/>
      <family val="2"/>
    </font>
  </fonts>
  <fills count="5">
    <fill>
      <patternFill patternType="none"/>
    </fill>
    <fill>
      <patternFill patternType="gray125"/>
    </fill>
    <fill>
      <patternFill patternType="solid">
        <fgColor theme="7" tint="0.59999389629810485"/>
        <bgColor indexed="64"/>
      </patternFill>
    </fill>
    <fill>
      <patternFill patternType="gray0625">
        <bgColor theme="0" tint="-0.34998626667073579"/>
      </patternFill>
    </fill>
    <fill>
      <patternFill patternType="solid">
        <fgColor rgb="FF99FF66"/>
        <bgColor indexed="64"/>
      </patternFill>
    </fill>
  </fills>
  <borders count="2">
    <border>
      <left/>
      <right/>
      <top/>
      <bottom/>
      <diagonal/>
    </border>
    <border>
      <left/>
      <right/>
      <top/>
      <bottom style="thin">
        <color auto="1"/>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cellStyleXfs>
  <cellXfs count="61">
    <xf numFmtId="0" fontId="0" fillId="0" borderId="0" xfId="0"/>
    <xf numFmtId="0" fontId="4" fillId="0" borderId="0" xfId="0" applyFont="1"/>
    <xf numFmtId="0" fontId="3" fillId="0" borderId="0" xfId="0" applyFont="1" applyAlignment="1">
      <alignment horizontal="center"/>
    </xf>
    <xf numFmtId="0" fontId="5" fillId="0" borderId="0" xfId="0" applyFont="1"/>
    <xf numFmtId="0" fontId="2" fillId="0" borderId="0" xfId="0" applyFont="1"/>
    <xf numFmtId="0" fontId="2" fillId="0" borderId="1" xfId="0" applyFont="1" applyBorder="1"/>
    <xf numFmtId="0" fontId="6" fillId="0" borderId="0" xfId="0" applyFont="1"/>
    <xf numFmtId="0" fontId="6" fillId="0" borderId="0" xfId="0" quotePrefix="1" applyFont="1" applyAlignment="1">
      <alignment horizontal="left"/>
    </xf>
    <xf numFmtId="0" fontId="6" fillId="0" borderId="0" xfId="0" quotePrefix="1" applyFont="1" applyAlignment="1">
      <alignment horizontal="right"/>
    </xf>
    <xf numFmtId="0" fontId="8" fillId="0" borderId="0" xfId="0" quotePrefix="1" applyFont="1" applyAlignment="1">
      <alignment horizontal="right"/>
    </xf>
    <xf numFmtId="0" fontId="6" fillId="0" borderId="0" xfId="0" applyFont="1" applyAlignment="1">
      <alignment vertical="top" wrapText="1"/>
    </xf>
    <xf numFmtId="0" fontId="6" fillId="0" borderId="0" xfId="0" quotePrefix="1" applyFont="1" applyAlignment="1">
      <alignment horizontal="left" vertical="top" wrapText="1"/>
    </xf>
    <xf numFmtId="0" fontId="6" fillId="0" borderId="0" xfId="0" quotePrefix="1" applyFont="1" applyAlignment="1">
      <alignment horizontal="right" vertical="top" wrapText="1"/>
    </xf>
    <xf numFmtId="0" fontId="8" fillId="0" borderId="0" xfId="0" quotePrefix="1" applyFont="1" applyAlignment="1">
      <alignment horizontal="right" vertical="top" wrapText="1"/>
    </xf>
    <xf numFmtId="0" fontId="6" fillId="0" borderId="0" xfId="0" applyFont="1" applyAlignment="1">
      <alignment horizontal="right" vertical="top" wrapText="1"/>
    </xf>
    <xf numFmtId="0" fontId="8" fillId="0" borderId="0" xfId="0" applyFont="1" applyAlignment="1">
      <alignment horizontal="right" vertical="top" wrapText="1"/>
    </xf>
    <xf numFmtId="3" fontId="5" fillId="0" borderId="0" xfId="0" applyNumberFormat="1" applyFont="1" applyAlignment="1">
      <alignment horizontal="right"/>
    </xf>
    <xf numFmtId="0" fontId="10" fillId="0" borderId="0" xfId="0" applyFont="1" applyAlignment="1">
      <alignment horizontal="left" vertical="top"/>
    </xf>
    <xf numFmtId="0" fontId="3" fillId="0" borderId="0" xfId="0" applyFont="1" applyAlignment="1">
      <alignment horizontal="left"/>
    </xf>
    <xf numFmtId="0" fontId="5" fillId="0" borderId="0" xfId="0" applyFont="1" applyAlignment="1">
      <alignment horizontal="left" vertical="top" wrapText="1"/>
    </xf>
    <xf numFmtId="0" fontId="6" fillId="0" borderId="0" xfId="0" applyFont="1" applyAlignment="1">
      <alignment horizontal="left"/>
    </xf>
    <xf numFmtId="166" fontId="5" fillId="0" borderId="0" xfId="0" applyNumberFormat="1" applyFont="1"/>
    <xf numFmtId="4" fontId="6" fillId="0" borderId="0" xfId="0" applyNumberFormat="1" applyFont="1"/>
    <xf numFmtId="4" fontId="7" fillId="0" borderId="0" xfId="0" applyNumberFormat="1" applyFont="1"/>
    <xf numFmtId="4" fontId="5" fillId="0" borderId="0" xfId="0" applyNumberFormat="1" applyFont="1" applyAlignment="1">
      <alignment horizontal="right" vertical="top" wrapText="1"/>
    </xf>
    <xf numFmtId="2" fontId="5" fillId="0" borderId="0" xfId="0" applyNumberFormat="1" applyFont="1"/>
    <xf numFmtId="2" fontId="6" fillId="0" borderId="0" xfId="0" applyNumberFormat="1" applyFont="1" applyAlignment="1">
      <alignment horizontal="right" vertical="top" wrapText="1"/>
    </xf>
    <xf numFmtId="2" fontId="7" fillId="0" borderId="0" xfId="0" applyNumberFormat="1" applyFont="1" applyAlignment="1">
      <alignment horizontal="right" vertical="top" wrapText="1"/>
    </xf>
    <xf numFmtId="4" fontId="5" fillId="0" borderId="0" xfId="0" applyNumberFormat="1" applyFont="1"/>
    <xf numFmtId="0" fontId="12" fillId="0" borderId="0" xfId="0" applyFont="1" applyAlignment="1">
      <alignment horizontal="left"/>
    </xf>
    <xf numFmtId="0" fontId="13" fillId="0" borderId="0" xfId="3" applyFont="1" applyAlignment="1">
      <alignment wrapText="1"/>
    </xf>
    <xf numFmtId="9" fontId="0" fillId="0" borderId="0" xfId="0" applyNumberFormat="1"/>
    <xf numFmtId="10" fontId="0" fillId="0" borderId="0" xfId="0" applyNumberFormat="1"/>
    <xf numFmtId="0" fontId="11" fillId="0" borderId="0" xfId="3" applyFont="1" applyAlignment="1">
      <alignment wrapText="1"/>
    </xf>
    <xf numFmtId="2" fontId="0" fillId="0" borderId="0" xfId="0" applyNumberFormat="1"/>
    <xf numFmtId="165" fontId="0" fillId="0" borderId="0" xfId="0" applyNumberFormat="1"/>
    <xf numFmtId="167" fontId="0" fillId="0" borderId="0" xfId="1" applyNumberFormat="1" applyFont="1"/>
    <xf numFmtId="168" fontId="0" fillId="0" borderId="0" xfId="1" applyNumberFormat="1" applyFont="1"/>
    <xf numFmtId="4" fontId="6" fillId="2" borderId="0" xfId="0" applyNumberFormat="1" applyFont="1" applyFill="1"/>
    <xf numFmtId="4" fontId="7" fillId="2" borderId="0" xfId="0" applyNumberFormat="1" applyFont="1" applyFill="1"/>
    <xf numFmtId="4" fontId="9" fillId="2" borderId="0" xfId="0" applyNumberFormat="1" applyFont="1" applyFill="1"/>
    <xf numFmtId="2" fontId="6" fillId="2" borderId="0" xfId="0" applyNumberFormat="1" applyFont="1" applyFill="1" applyAlignment="1">
      <alignment horizontal="right" vertical="top" wrapText="1"/>
    </xf>
    <xf numFmtId="2" fontId="9" fillId="2" borderId="0" xfId="0" applyNumberFormat="1" applyFont="1" applyFill="1" applyAlignment="1">
      <alignment horizontal="right" vertical="top" wrapText="1"/>
    </xf>
    <xf numFmtId="2" fontId="7" fillId="2" borderId="0" xfId="0" applyNumberFormat="1" applyFont="1" applyFill="1" applyAlignment="1">
      <alignment horizontal="right" vertical="top" wrapText="1"/>
    </xf>
    <xf numFmtId="4" fontId="6" fillId="2" borderId="0" xfId="1" applyNumberFormat="1" applyFont="1" applyFill="1" applyBorder="1" applyAlignment="1">
      <alignment horizontal="right" vertical="top" wrapText="1"/>
    </xf>
    <xf numFmtId="4" fontId="5" fillId="2" borderId="0" xfId="1" applyNumberFormat="1" applyFont="1" applyFill="1" applyBorder="1" applyAlignment="1">
      <alignment horizontal="right"/>
    </xf>
    <xf numFmtId="4" fontId="5" fillId="2" borderId="0" xfId="0" applyNumberFormat="1" applyFont="1" applyFill="1" applyAlignment="1">
      <alignment horizontal="right"/>
    </xf>
    <xf numFmtId="10" fontId="5" fillId="2" borderId="0" xfId="2" applyNumberFormat="1" applyFont="1" applyFill="1"/>
    <xf numFmtId="10" fontId="5" fillId="2" borderId="0" xfId="0" applyNumberFormat="1" applyFont="1" applyFill="1"/>
    <xf numFmtId="2" fontId="5" fillId="2" borderId="0" xfId="0" applyNumberFormat="1" applyFont="1" applyFill="1"/>
    <xf numFmtId="168" fontId="0" fillId="2" borderId="0" xfId="1" applyNumberFormat="1" applyFont="1" applyFill="1"/>
    <xf numFmtId="165" fontId="0" fillId="2" borderId="0" xfId="2" applyNumberFormat="1" applyFont="1" applyFill="1"/>
    <xf numFmtId="165" fontId="0" fillId="2" borderId="0" xfId="0" applyNumberFormat="1" applyFill="1"/>
    <xf numFmtId="10" fontId="0" fillId="2" borderId="0" xfId="0" applyNumberFormat="1" applyFill="1"/>
    <xf numFmtId="0" fontId="5" fillId="3" borderId="0" xfId="0" applyFont="1" applyFill="1"/>
    <xf numFmtId="0" fontId="1" fillId="0" borderId="0" xfId="3"/>
    <xf numFmtId="2" fontId="6" fillId="4" borderId="0" xfId="0" applyNumberFormat="1" applyFont="1" applyFill="1" applyAlignment="1">
      <alignment horizontal="right" vertical="top" wrapText="1"/>
    </xf>
    <xf numFmtId="2" fontId="7" fillId="4" borderId="0" xfId="0" applyNumberFormat="1" applyFont="1" applyFill="1" applyAlignment="1">
      <alignment horizontal="right" vertical="top" wrapText="1"/>
    </xf>
    <xf numFmtId="0" fontId="15" fillId="2" borderId="0" xfId="3" applyFont="1" applyFill="1" applyAlignment="1">
      <alignment horizontal="justify" vertical="top" wrapText="1"/>
    </xf>
    <xf numFmtId="0" fontId="2" fillId="0" borderId="0" xfId="0" applyFont="1" applyAlignment="1">
      <alignment horizontal="center"/>
    </xf>
    <xf numFmtId="0" fontId="14" fillId="0" borderId="0" xfId="3" applyFont="1" applyAlignment="1">
      <alignment horizontal="left" wrapText="1"/>
    </xf>
  </cellXfs>
  <cellStyles count="4">
    <cellStyle name="Millares" xfId="1" builtinId="3"/>
    <cellStyle name="Normal" xfId="0" builtinId="0"/>
    <cellStyle name="Normal 2" xfId="3" xr:uid="{00000000-0005-0000-0000-000002000000}"/>
    <cellStyle name="Porcentaj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K28"/>
  <sheetViews>
    <sheetView showGridLines="0" tabSelected="1" zoomScale="120" zoomScaleNormal="120" zoomScalePageLayoutView="120" workbookViewId="0">
      <selection activeCell="A13" sqref="A13"/>
    </sheetView>
  </sheetViews>
  <sheetFormatPr defaultColWidth="11.42578125" defaultRowHeight="12.95"/>
  <cols>
    <col min="1" max="10" width="11.42578125" style="55"/>
    <col min="11" max="11" width="12.85546875" style="55" customWidth="1"/>
    <col min="12" max="16384" width="11.42578125" style="55"/>
  </cols>
  <sheetData>
    <row r="3" spans="2:11">
      <c r="B3" s="58" t="s">
        <v>0</v>
      </c>
      <c r="C3" s="58"/>
      <c r="D3" s="58"/>
      <c r="E3" s="58"/>
      <c r="F3" s="58"/>
      <c r="G3" s="58"/>
      <c r="H3" s="58"/>
      <c r="I3" s="58"/>
      <c r="J3" s="58"/>
      <c r="K3" s="58"/>
    </row>
    <row r="4" spans="2:11">
      <c r="B4" s="58"/>
      <c r="C4" s="58"/>
      <c r="D4" s="58"/>
      <c r="E4" s="58"/>
      <c r="F4" s="58"/>
      <c r="G4" s="58"/>
      <c r="H4" s="58"/>
      <c r="I4" s="58"/>
      <c r="J4" s="58"/>
      <c r="K4" s="58"/>
    </row>
    <row r="5" spans="2:11">
      <c r="B5" s="58"/>
      <c r="C5" s="58"/>
      <c r="D5" s="58"/>
      <c r="E5" s="58"/>
      <c r="F5" s="58"/>
      <c r="G5" s="58"/>
      <c r="H5" s="58"/>
      <c r="I5" s="58"/>
      <c r="J5" s="58"/>
      <c r="K5" s="58"/>
    </row>
    <row r="6" spans="2:11">
      <c r="B6" s="58"/>
      <c r="C6" s="58"/>
      <c r="D6" s="58"/>
      <c r="E6" s="58"/>
      <c r="F6" s="58"/>
      <c r="G6" s="58"/>
      <c r="H6" s="58"/>
      <c r="I6" s="58"/>
      <c r="J6" s="58"/>
      <c r="K6" s="58"/>
    </row>
    <row r="7" spans="2:11">
      <c r="B7" s="58"/>
      <c r="C7" s="58"/>
      <c r="D7" s="58"/>
      <c r="E7" s="58"/>
      <c r="F7" s="58"/>
      <c r="G7" s="58"/>
      <c r="H7" s="58"/>
      <c r="I7" s="58"/>
      <c r="J7" s="58"/>
      <c r="K7" s="58"/>
    </row>
    <row r="8" spans="2:11">
      <c r="B8" s="58"/>
      <c r="C8" s="58"/>
      <c r="D8" s="58"/>
      <c r="E8" s="58"/>
      <c r="F8" s="58"/>
      <c r="G8" s="58"/>
      <c r="H8" s="58"/>
      <c r="I8" s="58"/>
      <c r="J8" s="58"/>
      <c r="K8" s="58"/>
    </row>
    <row r="9" spans="2:11">
      <c r="B9" s="58"/>
      <c r="C9" s="58"/>
      <c r="D9" s="58"/>
      <c r="E9" s="58"/>
      <c r="F9" s="58"/>
      <c r="G9" s="58"/>
      <c r="H9" s="58"/>
      <c r="I9" s="58"/>
      <c r="J9" s="58"/>
      <c r="K9" s="58"/>
    </row>
    <row r="10" spans="2:11">
      <c r="B10" s="58"/>
      <c r="C10" s="58"/>
      <c r="D10" s="58"/>
      <c r="E10" s="58"/>
      <c r="F10" s="58"/>
      <c r="G10" s="58"/>
      <c r="H10" s="58"/>
      <c r="I10" s="58"/>
      <c r="J10" s="58"/>
      <c r="K10" s="58"/>
    </row>
    <row r="11" spans="2:11">
      <c r="B11" s="58"/>
      <c r="C11" s="58"/>
      <c r="D11" s="58"/>
      <c r="E11" s="58"/>
      <c r="F11" s="58"/>
      <c r="G11" s="58"/>
      <c r="H11" s="58"/>
      <c r="I11" s="58"/>
      <c r="J11" s="58"/>
      <c r="K11" s="58"/>
    </row>
    <row r="12" spans="2:11">
      <c r="B12" s="58"/>
      <c r="C12" s="58"/>
      <c r="D12" s="58"/>
      <c r="E12" s="58"/>
      <c r="F12" s="58"/>
      <c r="G12" s="58"/>
      <c r="H12" s="58"/>
      <c r="I12" s="58"/>
      <c r="J12" s="58"/>
      <c r="K12" s="58"/>
    </row>
    <row r="13" spans="2:11">
      <c r="B13" s="58"/>
      <c r="C13" s="58"/>
      <c r="D13" s="58"/>
      <c r="E13" s="58"/>
      <c r="F13" s="58"/>
      <c r="G13" s="58"/>
      <c r="H13" s="58"/>
      <c r="I13" s="58"/>
      <c r="J13" s="58"/>
      <c r="K13" s="58"/>
    </row>
    <row r="14" spans="2:11">
      <c r="B14" s="58"/>
      <c r="C14" s="58"/>
      <c r="D14" s="58"/>
      <c r="E14" s="58"/>
      <c r="F14" s="58"/>
      <c r="G14" s="58"/>
      <c r="H14" s="58"/>
      <c r="I14" s="58"/>
      <c r="J14" s="58"/>
      <c r="K14" s="58"/>
    </row>
    <row r="15" spans="2:11">
      <c r="B15" s="58"/>
      <c r="C15" s="58"/>
      <c r="D15" s="58"/>
      <c r="E15" s="58"/>
      <c r="F15" s="58"/>
      <c r="G15" s="58"/>
      <c r="H15" s="58"/>
      <c r="I15" s="58"/>
      <c r="J15" s="58"/>
      <c r="K15" s="58"/>
    </row>
    <row r="16" spans="2:11">
      <c r="B16" s="58"/>
      <c r="C16" s="58"/>
      <c r="D16" s="58"/>
      <c r="E16" s="58"/>
      <c r="F16" s="58"/>
      <c r="G16" s="58"/>
      <c r="H16" s="58"/>
      <c r="I16" s="58"/>
      <c r="J16" s="58"/>
      <c r="K16" s="58"/>
    </row>
    <row r="17" spans="2:11">
      <c r="B17" s="58"/>
      <c r="C17" s="58"/>
      <c r="D17" s="58"/>
      <c r="E17" s="58"/>
      <c r="F17" s="58"/>
      <c r="G17" s="58"/>
      <c r="H17" s="58"/>
      <c r="I17" s="58"/>
      <c r="J17" s="58"/>
      <c r="K17" s="58"/>
    </row>
    <row r="18" spans="2:11">
      <c r="B18" s="58"/>
      <c r="C18" s="58"/>
      <c r="D18" s="58"/>
      <c r="E18" s="58"/>
      <c r="F18" s="58"/>
      <c r="G18" s="58"/>
      <c r="H18" s="58"/>
      <c r="I18" s="58"/>
      <c r="J18" s="58"/>
      <c r="K18" s="58"/>
    </row>
    <row r="19" spans="2:11">
      <c r="B19" s="58"/>
      <c r="C19" s="58"/>
      <c r="D19" s="58"/>
      <c r="E19" s="58"/>
      <c r="F19" s="58"/>
      <c r="G19" s="58"/>
      <c r="H19" s="58"/>
      <c r="I19" s="58"/>
      <c r="J19" s="58"/>
      <c r="K19" s="58"/>
    </row>
    <row r="20" spans="2:11">
      <c r="B20" s="58"/>
      <c r="C20" s="58"/>
      <c r="D20" s="58"/>
      <c r="E20" s="58"/>
      <c r="F20" s="58"/>
      <c r="G20" s="58"/>
      <c r="H20" s="58"/>
      <c r="I20" s="58"/>
      <c r="J20" s="58"/>
      <c r="K20" s="58"/>
    </row>
    <row r="21" spans="2:11">
      <c r="B21" s="58"/>
      <c r="C21" s="58"/>
      <c r="D21" s="58"/>
      <c r="E21" s="58"/>
      <c r="F21" s="58"/>
      <c r="G21" s="58"/>
      <c r="H21" s="58"/>
      <c r="I21" s="58"/>
      <c r="J21" s="58"/>
      <c r="K21" s="58"/>
    </row>
    <row r="22" spans="2:11">
      <c r="B22" s="58"/>
      <c r="C22" s="58"/>
      <c r="D22" s="58"/>
      <c r="E22" s="58"/>
      <c r="F22" s="58"/>
      <c r="G22" s="58"/>
      <c r="H22" s="58"/>
      <c r="I22" s="58"/>
      <c r="J22" s="58"/>
      <c r="K22" s="58"/>
    </row>
    <row r="23" spans="2:11">
      <c r="B23" s="58"/>
      <c r="C23" s="58"/>
      <c r="D23" s="58"/>
      <c r="E23" s="58"/>
      <c r="F23" s="58"/>
      <c r="G23" s="58"/>
      <c r="H23" s="58"/>
      <c r="I23" s="58"/>
      <c r="J23" s="58"/>
      <c r="K23" s="58"/>
    </row>
    <row r="24" spans="2:11">
      <c r="B24" s="58"/>
      <c r="C24" s="58"/>
      <c r="D24" s="58"/>
      <c r="E24" s="58"/>
      <c r="F24" s="58"/>
      <c r="G24" s="58"/>
      <c r="H24" s="58"/>
      <c r="I24" s="58"/>
      <c r="J24" s="58"/>
      <c r="K24" s="58"/>
    </row>
    <row r="25" spans="2:11">
      <c r="B25" s="58"/>
      <c r="C25" s="58"/>
      <c r="D25" s="58"/>
      <c r="E25" s="58"/>
      <c r="F25" s="58"/>
      <c r="G25" s="58"/>
      <c r="H25" s="58"/>
      <c r="I25" s="58"/>
      <c r="J25" s="58"/>
      <c r="K25" s="58"/>
    </row>
    <row r="26" spans="2:11">
      <c r="B26" s="58"/>
      <c r="C26" s="58"/>
      <c r="D26" s="58"/>
      <c r="E26" s="58"/>
      <c r="F26" s="58"/>
      <c r="G26" s="58"/>
      <c r="H26" s="58"/>
      <c r="I26" s="58"/>
      <c r="J26" s="58"/>
      <c r="K26" s="58"/>
    </row>
    <row r="27" spans="2:11">
      <c r="B27" s="58"/>
      <c r="C27" s="58"/>
      <c r="D27" s="58"/>
      <c r="E27" s="58"/>
      <c r="F27" s="58"/>
      <c r="G27" s="58"/>
      <c r="H27" s="58"/>
      <c r="I27" s="58"/>
      <c r="J27" s="58"/>
      <c r="K27" s="58"/>
    </row>
    <row r="28" spans="2:11">
      <c r="B28" s="58"/>
      <c r="C28" s="58"/>
      <c r="D28" s="58"/>
      <c r="E28" s="58"/>
      <c r="F28" s="58"/>
      <c r="G28" s="58"/>
      <c r="H28" s="58"/>
      <c r="I28" s="58"/>
      <c r="J28" s="58"/>
      <c r="K28" s="58"/>
    </row>
  </sheetData>
  <mergeCells count="1">
    <mergeCell ref="B3:K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0"/>
  <sheetViews>
    <sheetView zoomScale="120" zoomScaleNormal="120" zoomScalePageLayoutView="120" workbookViewId="0">
      <selection activeCell="A18" sqref="A18"/>
    </sheetView>
  </sheetViews>
  <sheetFormatPr defaultColWidth="10.7109375" defaultRowHeight="15.95"/>
  <cols>
    <col min="1" max="1" width="43.42578125" style="3" customWidth="1"/>
    <col min="2" max="6" width="10.28515625" style="3" customWidth="1"/>
    <col min="7" max="16384" width="10.7109375" style="3"/>
  </cols>
  <sheetData>
    <row r="1" spans="1:11" ht="18">
      <c r="A1" s="18" t="s">
        <v>1</v>
      </c>
      <c r="B1" s="18"/>
      <c r="C1" s="18"/>
      <c r="D1" s="18"/>
      <c r="E1" s="18"/>
      <c r="F1" s="18"/>
    </row>
    <row r="2" spans="1:11" ht="18">
      <c r="A2" s="18"/>
      <c r="B2" s="18"/>
      <c r="C2" s="18"/>
      <c r="D2" s="18"/>
      <c r="E2" s="18"/>
      <c r="F2" s="18"/>
    </row>
    <row r="3" spans="1:11" ht="18">
      <c r="A3" s="29" t="s">
        <v>2</v>
      </c>
      <c r="B3" s="18"/>
      <c r="C3" s="18"/>
      <c r="D3" s="18"/>
      <c r="E3" s="18"/>
      <c r="F3" s="18"/>
    </row>
    <row r="4" spans="1:11" ht="18">
      <c r="A4" s="2"/>
      <c r="B4" s="2"/>
      <c r="C4" s="2"/>
      <c r="D4" s="2"/>
      <c r="E4" s="2"/>
      <c r="F4" s="2"/>
    </row>
    <row r="5" spans="1:11">
      <c r="A5" s="59" t="s">
        <v>3</v>
      </c>
      <c r="B5" s="59"/>
      <c r="C5" s="59"/>
      <c r="D5" s="59"/>
      <c r="E5" s="59"/>
      <c r="F5" s="59"/>
    </row>
    <row r="6" spans="1:11">
      <c r="D6" s="4"/>
      <c r="E6" s="4"/>
      <c r="F6" s="4"/>
    </row>
    <row r="7" spans="1:11">
      <c r="A7" s="1" t="s">
        <v>4</v>
      </c>
      <c r="B7" s="5">
        <v>2019</v>
      </c>
      <c r="C7" s="5">
        <v>2020</v>
      </c>
      <c r="D7" s="5">
        <v>2021</v>
      </c>
      <c r="E7" s="5">
        <v>2022</v>
      </c>
      <c r="F7" s="5">
        <v>2023</v>
      </c>
    </row>
    <row r="8" spans="1:11">
      <c r="A8" s="6" t="s">
        <v>5</v>
      </c>
      <c r="B8" s="22">
        <v>1450</v>
      </c>
      <c r="C8" s="22">
        <v>1530</v>
      </c>
      <c r="D8" s="22">
        <v>1620</v>
      </c>
      <c r="E8" s="22">
        <v>1700</v>
      </c>
      <c r="F8" s="22">
        <v>1810</v>
      </c>
    </row>
    <row r="9" spans="1:11">
      <c r="A9" s="6" t="s">
        <v>6</v>
      </c>
      <c r="B9" s="22">
        <v>1014.9999999999999</v>
      </c>
      <c r="C9" s="22">
        <v>1070</v>
      </c>
      <c r="D9" s="22">
        <v>1140</v>
      </c>
      <c r="E9" s="22">
        <v>1190</v>
      </c>
      <c r="F9" s="22">
        <v>1270</v>
      </c>
    </row>
    <row r="10" spans="1:11">
      <c r="A10" s="6" t="s">
        <v>7</v>
      </c>
      <c r="B10" s="38"/>
      <c r="C10" s="38"/>
      <c r="D10" s="38"/>
      <c r="E10" s="38"/>
      <c r="F10" s="38"/>
    </row>
    <row r="11" spans="1:11">
      <c r="A11" s="7" t="s">
        <v>8</v>
      </c>
      <c r="B11" s="22">
        <v>300</v>
      </c>
      <c r="C11" s="22">
        <v>316</v>
      </c>
      <c r="D11" s="22">
        <v>320</v>
      </c>
      <c r="E11" s="22">
        <v>328</v>
      </c>
      <c r="F11" s="22">
        <v>336</v>
      </c>
      <c r="G11" s="28"/>
      <c r="H11" s="28"/>
      <c r="I11" s="28"/>
      <c r="J11" s="28"/>
      <c r="K11" s="28"/>
    </row>
    <row r="12" spans="1:11">
      <c r="A12" s="7" t="s">
        <v>9</v>
      </c>
      <c r="B12" s="38"/>
      <c r="C12" s="38"/>
      <c r="D12" s="38"/>
      <c r="E12" s="38"/>
      <c r="F12" s="38"/>
    </row>
    <row r="13" spans="1:11">
      <c r="A13" s="6" t="s">
        <v>10</v>
      </c>
      <c r="B13" s="23">
        <v>70</v>
      </c>
      <c r="C13" s="23">
        <v>72</v>
      </c>
      <c r="D13" s="23">
        <v>76</v>
      </c>
      <c r="E13" s="23">
        <v>78</v>
      </c>
      <c r="F13" s="23">
        <v>81</v>
      </c>
    </row>
    <row r="14" spans="1:11">
      <c r="A14" s="8" t="s">
        <v>11</v>
      </c>
      <c r="B14" s="38"/>
      <c r="C14" s="38"/>
      <c r="D14" s="38"/>
      <c r="E14" s="38"/>
      <c r="F14" s="38"/>
    </row>
    <row r="15" spans="1:11">
      <c r="A15" s="19" t="s">
        <v>12</v>
      </c>
      <c r="B15" s="24">
        <v>0.3</v>
      </c>
      <c r="C15" s="24">
        <v>0.4</v>
      </c>
      <c r="D15" s="24">
        <v>0.3</v>
      </c>
      <c r="E15" s="24">
        <v>0.4</v>
      </c>
      <c r="F15" s="24">
        <v>0.6</v>
      </c>
    </row>
    <row r="16" spans="1:11">
      <c r="A16" s="20" t="s">
        <v>13</v>
      </c>
      <c r="B16" s="23">
        <v>8</v>
      </c>
      <c r="C16" s="23">
        <v>14</v>
      </c>
      <c r="D16" s="23">
        <v>16</v>
      </c>
      <c r="E16" s="23">
        <v>17</v>
      </c>
      <c r="F16" s="23">
        <v>19</v>
      </c>
    </row>
    <row r="17" spans="1:6">
      <c r="A17" s="8" t="s">
        <v>14</v>
      </c>
      <c r="B17" s="38"/>
      <c r="C17" s="38"/>
      <c r="D17" s="38"/>
      <c r="E17" s="38"/>
      <c r="F17" s="38"/>
    </row>
    <row r="18" spans="1:6">
      <c r="A18" s="7" t="s">
        <v>15</v>
      </c>
      <c r="B18" s="39"/>
      <c r="C18" s="39"/>
      <c r="D18" s="39"/>
      <c r="E18" s="39"/>
      <c r="F18" s="39"/>
    </row>
    <row r="19" spans="1:6">
      <c r="A19" s="9" t="s">
        <v>16</v>
      </c>
      <c r="B19" s="40"/>
      <c r="C19" s="40"/>
      <c r="D19" s="40"/>
      <c r="E19" s="40"/>
      <c r="F19" s="40"/>
    </row>
    <row r="20" spans="1:6">
      <c r="A20" s="6" t="s">
        <v>17</v>
      </c>
      <c r="B20" s="38"/>
      <c r="C20" s="38"/>
      <c r="D20" s="38"/>
      <c r="E20" s="38"/>
      <c r="F20" s="38"/>
    </row>
    <row r="21" spans="1:6">
      <c r="A21" s="6" t="s">
        <v>18</v>
      </c>
      <c r="B21" s="38"/>
      <c r="C21" s="38"/>
      <c r="D21" s="38"/>
      <c r="E21" s="38"/>
      <c r="F21" s="38"/>
    </row>
    <row r="23" spans="1:6">
      <c r="D23" s="4"/>
      <c r="E23" s="4"/>
      <c r="F23" s="4"/>
    </row>
    <row r="24" spans="1:6">
      <c r="A24" s="1" t="s">
        <v>19</v>
      </c>
      <c r="B24" s="5">
        <v>2019</v>
      </c>
      <c r="C24" s="5">
        <v>2020</v>
      </c>
      <c r="D24" s="5">
        <v>2021</v>
      </c>
      <c r="E24" s="5">
        <v>2022</v>
      </c>
      <c r="F24" s="5">
        <v>2023</v>
      </c>
    </row>
    <row r="25" spans="1:6">
      <c r="A25" s="10" t="s">
        <v>20</v>
      </c>
      <c r="B25" s="26">
        <v>82</v>
      </c>
      <c r="C25" s="26">
        <v>90</v>
      </c>
      <c r="D25" s="26">
        <v>110</v>
      </c>
      <c r="E25" s="26">
        <v>116</v>
      </c>
      <c r="F25" s="26">
        <v>125</v>
      </c>
    </row>
    <row r="26" spans="1:6">
      <c r="A26" s="11" t="s">
        <v>21</v>
      </c>
      <c r="B26" s="26">
        <v>14</v>
      </c>
      <c r="C26" s="26">
        <v>14.5</v>
      </c>
      <c r="D26" s="26">
        <v>18.2</v>
      </c>
      <c r="E26" s="26">
        <v>21.9</v>
      </c>
      <c r="F26" s="26">
        <v>50.9</v>
      </c>
    </row>
    <row r="27" spans="1:6">
      <c r="A27" s="10" t="s">
        <v>22</v>
      </c>
      <c r="B27" s="26">
        <v>116</v>
      </c>
      <c r="C27" s="26">
        <v>120</v>
      </c>
      <c r="D27" s="26">
        <v>124</v>
      </c>
      <c r="E27" s="26">
        <v>160</v>
      </c>
      <c r="F27" s="26">
        <v>176</v>
      </c>
    </row>
    <row r="28" spans="1:6">
      <c r="A28" s="10" t="s">
        <v>23</v>
      </c>
      <c r="B28" s="27">
        <v>140</v>
      </c>
      <c r="C28" s="27">
        <v>160</v>
      </c>
      <c r="D28" s="27">
        <v>178</v>
      </c>
      <c r="E28" s="27">
        <v>184</v>
      </c>
      <c r="F28" s="27">
        <v>194</v>
      </c>
    </row>
    <row r="29" spans="1:6">
      <c r="A29" s="12" t="s">
        <v>24</v>
      </c>
      <c r="B29" s="41"/>
      <c r="C29" s="41"/>
      <c r="D29" s="41"/>
      <c r="E29" s="41"/>
      <c r="F29" s="41"/>
    </row>
    <row r="30" spans="1:6">
      <c r="A30" s="10" t="s">
        <v>25</v>
      </c>
      <c r="B30" s="27">
        <v>500</v>
      </c>
      <c r="C30" s="27">
        <v>520</v>
      </c>
      <c r="D30" s="27">
        <v>543</v>
      </c>
      <c r="E30" s="27">
        <v>586</v>
      </c>
      <c r="F30" s="27">
        <v>600</v>
      </c>
    </row>
    <row r="31" spans="1:6">
      <c r="A31" s="13" t="s">
        <v>26</v>
      </c>
      <c r="B31" s="42"/>
      <c r="C31" s="42"/>
      <c r="D31" s="42"/>
      <c r="E31" s="42"/>
      <c r="F31" s="42"/>
    </row>
    <row r="32" spans="1:6">
      <c r="B32" s="25"/>
      <c r="C32" s="25"/>
      <c r="D32" s="25"/>
      <c r="E32" s="25"/>
      <c r="F32" s="25"/>
    </row>
    <row r="33" spans="1:7">
      <c r="A33" s="10" t="s">
        <v>27</v>
      </c>
      <c r="B33" s="26">
        <v>148</v>
      </c>
      <c r="C33" s="26">
        <v>168</v>
      </c>
      <c r="D33" s="26">
        <v>184</v>
      </c>
      <c r="E33" s="26">
        <v>196</v>
      </c>
      <c r="F33" s="26">
        <v>210</v>
      </c>
    </row>
    <row r="34" spans="1:7">
      <c r="A34" s="11" t="s">
        <v>28</v>
      </c>
      <c r="B34" s="26">
        <v>45</v>
      </c>
      <c r="C34" s="26">
        <v>34</v>
      </c>
      <c r="D34" s="26">
        <v>28</v>
      </c>
      <c r="E34" s="26">
        <v>30</v>
      </c>
      <c r="F34" s="26">
        <v>31</v>
      </c>
    </row>
    <row r="35" spans="1:7">
      <c r="A35" s="11" t="s">
        <v>29</v>
      </c>
      <c r="B35" s="27">
        <v>38</v>
      </c>
      <c r="C35" s="27">
        <v>43</v>
      </c>
      <c r="D35" s="27">
        <v>45</v>
      </c>
      <c r="E35" s="27">
        <v>48</v>
      </c>
      <c r="F35" s="27">
        <v>50</v>
      </c>
    </row>
    <row r="36" spans="1:7">
      <c r="A36" s="12" t="s">
        <v>30</v>
      </c>
      <c r="B36" s="41"/>
      <c r="C36" s="41"/>
      <c r="D36" s="41"/>
      <c r="E36" s="41"/>
      <c r="F36" s="41"/>
    </row>
    <row r="37" spans="1:7">
      <c r="A37" s="11" t="s">
        <v>31</v>
      </c>
      <c r="B37" s="27">
        <v>120</v>
      </c>
      <c r="C37" s="27">
        <v>120</v>
      </c>
      <c r="D37" s="27">
        <v>128</v>
      </c>
      <c r="E37" s="27">
        <v>140</v>
      </c>
      <c r="F37" s="27">
        <v>140</v>
      </c>
    </row>
    <row r="38" spans="1:7">
      <c r="A38" s="14" t="s">
        <v>32</v>
      </c>
      <c r="B38" s="41"/>
      <c r="C38" s="41"/>
      <c r="D38" s="41"/>
      <c r="E38" s="41"/>
      <c r="F38" s="41"/>
    </row>
    <row r="39" spans="1:7">
      <c r="A39" s="7" t="s">
        <v>33</v>
      </c>
      <c r="B39" s="56">
        <v>280</v>
      </c>
      <c r="C39" s="56">
        <v>293.97199999999998</v>
      </c>
      <c r="D39" s="56">
        <v>313.9860000000001</v>
      </c>
      <c r="E39" s="56">
        <v>342.97800000000007</v>
      </c>
      <c r="F39" s="56">
        <v>360.04600000000005</v>
      </c>
    </row>
    <row r="40" spans="1:7">
      <c r="A40" s="11" t="s">
        <v>34</v>
      </c>
      <c r="B40" s="57">
        <v>221</v>
      </c>
      <c r="C40" s="43"/>
      <c r="D40" s="43"/>
      <c r="E40" s="43"/>
      <c r="F40" s="43"/>
    </row>
    <row r="41" spans="1:7">
      <c r="A41" s="14" t="s">
        <v>35</v>
      </c>
      <c r="B41" s="43"/>
      <c r="C41" s="43"/>
      <c r="D41" s="43"/>
      <c r="E41" s="43"/>
      <c r="F41" s="43"/>
    </row>
    <row r="42" spans="1:7">
      <c r="A42" s="15" t="s">
        <v>36</v>
      </c>
      <c r="B42" s="42"/>
      <c r="C42" s="42"/>
      <c r="D42" s="42"/>
      <c r="E42" s="42"/>
      <c r="F42" s="42"/>
    </row>
    <row r="43" spans="1:7">
      <c r="B43" s="21"/>
      <c r="C43" s="21"/>
      <c r="D43" s="21"/>
      <c r="E43" s="21"/>
      <c r="F43" s="21"/>
    </row>
    <row r="45" spans="1:7" ht="18">
      <c r="A45" s="29" t="s">
        <v>37</v>
      </c>
      <c r="B45" s="17"/>
      <c r="C45" s="17"/>
      <c r="D45" s="17"/>
      <c r="E45" s="17"/>
      <c r="F45" s="17"/>
      <c r="G45" s="17"/>
    </row>
    <row r="46" spans="1:7">
      <c r="D46" s="4"/>
      <c r="E46" s="4"/>
      <c r="F46" s="4"/>
      <c r="G46" s="16"/>
    </row>
    <row r="47" spans="1:7">
      <c r="A47" s="4"/>
      <c r="B47" s="5">
        <f>B24</f>
        <v>2019</v>
      </c>
      <c r="C47" s="5">
        <f t="shared" ref="C47:F47" si="0">C24</f>
        <v>2020</v>
      </c>
      <c r="D47" s="5">
        <f t="shared" si="0"/>
        <v>2021</v>
      </c>
      <c r="E47" s="5">
        <f t="shared" si="0"/>
        <v>2022</v>
      </c>
      <c r="F47" s="5">
        <f t="shared" si="0"/>
        <v>2023</v>
      </c>
      <c r="G47" s="4"/>
    </row>
    <row r="48" spans="1:7">
      <c r="A48" s="10" t="s">
        <v>38</v>
      </c>
      <c r="B48" s="44"/>
      <c r="C48" s="44"/>
      <c r="D48" s="44"/>
      <c r="E48" s="44"/>
      <c r="F48" s="44"/>
      <c r="G48" s="16"/>
    </row>
    <row r="49" spans="1:7">
      <c r="A49" s="11" t="s">
        <v>39</v>
      </c>
      <c r="B49" s="44"/>
      <c r="C49" s="44"/>
      <c r="D49" s="44"/>
      <c r="E49" s="44"/>
      <c r="F49" s="44"/>
      <c r="G49" s="16"/>
    </row>
    <row r="50" spans="1:7">
      <c r="A50" s="10" t="s">
        <v>40</v>
      </c>
      <c r="B50" s="44"/>
      <c r="C50" s="44"/>
      <c r="D50" s="44"/>
      <c r="E50" s="44"/>
      <c r="F50" s="44"/>
      <c r="G50" s="16"/>
    </row>
    <row r="51" spans="1:7">
      <c r="A51" s="11" t="s">
        <v>41</v>
      </c>
      <c r="B51" s="45"/>
      <c r="C51" s="45"/>
      <c r="D51" s="45"/>
      <c r="E51" s="45"/>
      <c r="F51" s="45"/>
      <c r="G51" s="16"/>
    </row>
    <row r="52" spans="1:7">
      <c r="A52" s="3" t="s">
        <v>42</v>
      </c>
      <c r="B52" s="45"/>
      <c r="C52" s="45"/>
      <c r="D52" s="45"/>
      <c r="E52" s="45"/>
      <c r="F52" s="45"/>
      <c r="G52" s="16"/>
    </row>
    <row r="53" spans="1:7">
      <c r="A53" s="3" t="s">
        <v>43</v>
      </c>
      <c r="B53" s="45"/>
      <c r="C53" s="45"/>
      <c r="D53" s="45"/>
      <c r="E53" s="45"/>
      <c r="F53" s="45"/>
      <c r="G53" s="16"/>
    </row>
    <row r="54" spans="1:7">
      <c r="A54" s="3" t="s">
        <v>44</v>
      </c>
      <c r="B54" s="28">
        <v>15</v>
      </c>
      <c r="C54" s="46"/>
      <c r="D54" s="46"/>
      <c r="E54" s="46"/>
      <c r="F54" s="46"/>
      <c r="G54" s="16"/>
    </row>
    <row r="55" spans="1:7">
      <c r="A55" s="3" t="s">
        <v>45</v>
      </c>
      <c r="B55" s="46"/>
      <c r="C55" s="46"/>
      <c r="D55" s="46"/>
      <c r="E55" s="46"/>
      <c r="F55" s="46"/>
      <c r="G55" s="16"/>
    </row>
    <row r="56" spans="1:7">
      <c r="A56" s="3" t="s">
        <v>46</v>
      </c>
      <c r="B56" s="54"/>
      <c r="C56" s="47"/>
      <c r="D56" s="47"/>
      <c r="E56" s="47"/>
      <c r="F56" s="47"/>
    </row>
    <row r="58" spans="1:7">
      <c r="A58" s="3" t="s">
        <v>47</v>
      </c>
      <c r="B58" s="54"/>
      <c r="C58" s="48"/>
      <c r="D58" s="48"/>
      <c r="E58" s="48"/>
      <c r="F58" s="48"/>
    </row>
    <row r="60" spans="1:7">
      <c r="A60" s="3" t="s">
        <v>48</v>
      </c>
      <c r="B60" s="54"/>
      <c r="C60" s="49"/>
      <c r="D60" s="49"/>
      <c r="E60" s="49"/>
      <c r="F60" s="49"/>
    </row>
  </sheetData>
  <mergeCells count="1">
    <mergeCell ref="A5:F5"/>
  </mergeCells>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18"/>
  <sheetViews>
    <sheetView zoomScale="150" zoomScaleNormal="150" zoomScalePageLayoutView="150" workbookViewId="0">
      <selection activeCell="H10" sqref="H10"/>
    </sheetView>
  </sheetViews>
  <sheetFormatPr defaultColWidth="11.42578125" defaultRowHeight="12.95"/>
  <cols>
    <col min="1" max="1" width="3.140625" customWidth="1"/>
    <col min="2" max="2" width="37.42578125" customWidth="1"/>
    <col min="3" max="3" width="13" bestFit="1" customWidth="1"/>
  </cols>
  <sheetData>
    <row r="2" spans="2:7">
      <c r="B2" s="30" t="s">
        <v>49</v>
      </c>
    </row>
    <row r="3" spans="2:7" ht="24" customHeight="1">
      <c r="B3" s="60" t="s">
        <v>50</v>
      </c>
      <c r="C3" s="60"/>
      <c r="D3" s="60"/>
      <c r="E3" s="60"/>
      <c r="F3" s="60"/>
      <c r="G3" s="60"/>
    </row>
    <row r="5" spans="2:7" ht="15.95">
      <c r="C5" s="5">
        <v>2019</v>
      </c>
      <c r="D5" s="5">
        <v>2020</v>
      </c>
      <c r="E5" s="5">
        <v>2021</v>
      </c>
      <c r="F5" s="5">
        <v>2022</v>
      </c>
      <c r="G5" s="5">
        <v>2023</v>
      </c>
    </row>
    <row r="6" spans="2:7" ht="14.1">
      <c r="B6" s="33" t="s">
        <v>51</v>
      </c>
      <c r="C6" s="36">
        <v>12.5</v>
      </c>
      <c r="D6" s="36">
        <v>12.5</v>
      </c>
      <c r="E6" s="36">
        <v>12.5</v>
      </c>
      <c r="F6" s="36">
        <v>12.5</v>
      </c>
      <c r="G6" s="36">
        <v>12.5</v>
      </c>
    </row>
    <row r="7" spans="2:7" ht="14.1">
      <c r="B7" s="33" t="s">
        <v>52</v>
      </c>
      <c r="C7" s="37">
        <f>55</f>
        <v>55</v>
      </c>
      <c r="D7" s="37">
        <v>65</v>
      </c>
      <c r="E7" s="37">
        <v>63</v>
      </c>
      <c r="F7" s="37">
        <v>68</v>
      </c>
      <c r="G7" s="37">
        <v>70</v>
      </c>
    </row>
    <row r="8" spans="2:7" ht="14.1">
      <c r="B8" s="33" t="s">
        <v>53</v>
      </c>
      <c r="C8" s="50"/>
      <c r="D8" s="50"/>
      <c r="E8" s="50"/>
      <c r="F8" s="50"/>
      <c r="G8" s="50"/>
    </row>
    <row r="9" spans="2:7" ht="14.1">
      <c r="B9" s="33" t="s">
        <v>54</v>
      </c>
      <c r="C9" s="50"/>
      <c r="D9" s="50"/>
      <c r="E9" s="50"/>
      <c r="F9" s="50"/>
      <c r="G9" s="50"/>
    </row>
    <row r="10" spans="2:7" ht="14.1">
      <c r="B10" s="33" t="s">
        <v>55</v>
      </c>
      <c r="C10" s="51"/>
      <c r="D10" s="51"/>
      <c r="E10" s="51"/>
      <c r="F10" s="51"/>
      <c r="G10" s="51"/>
    </row>
    <row r="11" spans="2:7" ht="14.1">
      <c r="B11" s="33" t="s">
        <v>56</v>
      </c>
      <c r="C11" s="51"/>
      <c r="D11" s="51"/>
      <c r="E11" s="51"/>
      <c r="F11" s="51"/>
      <c r="G11" s="51"/>
    </row>
    <row r="12" spans="2:7" ht="14.1">
      <c r="B12" s="33" t="s">
        <v>57</v>
      </c>
      <c r="C12" s="34">
        <v>1.4</v>
      </c>
      <c r="D12">
        <v>1.53</v>
      </c>
      <c r="E12">
        <v>1.35</v>
      </c>
      <c r="F12">
        <v>1.35</v>
      </c>
      <c r="G12">
        <v>1.45</v>
      </c>
    </row>
    <row r="13" spans="2:7" ht="14.1">
      <c r="B13" s="33" t="s">
        <v>58</v>
      </c>
      <c r="C13" s="35">
        <v>0.04</v>
      </c>
      <c r="D13" s="35">
        <v>4.4999999999999998E-2</v>
      </c>
      <c r="E13" s="35">
        <v>4.8000000000000001E-2</v>
      </c>
      <c r="F13" s="35">
        <v>0.05</v>
      </c>
      <c r="G13" s="35">
        <v>0.05</v>
      </c>
    </row>
    <row r="14" spans="2:7" ht="14.1">
      <c r="B14" s="33" t="s">
        <v>59</v>
      </c>
      <c r="C14" s="31">
        <v>0.09</v>
      </c>
      <c r="D14" s="32">
        <v>9.1999999999999998E-2</v>
      </c>
      <c r="E14" s="32">
        <v>9.2499999999999999E-2</v>
      </c>
      <c r="F14" s="32">
        <v>9.2499999999999999E-2</v>
      </c>
      <c r="G14" s="32">
        <v>9.5000000000000001E-2</v>
      </c>
    </row>
    <row r="15" spans="2:7" ht="14.1">
      <c r="B15" s="33" t="s">
        <v>60</v>
      </c>
      <c r="C15" s="32">
        <v>1.4999999999999999E-2</v>
      </c>
      <c r="D15" s="32">
        <v>1.6E-2</v>
      </c>
      <c r="E15" s="32">
        <v>1.55E-2</v>
      </c>
      <c r="F15" s="32">
        <v>1.6500000000000001E-2</v>
      </c>
      <c r="G15" s="32">
        <v>1.7000000000000001E-2</v>
      </c>
    </row>
    <row r="16" spans="2:7" ht="14.1">
      <c r="B16" s="33" t="s">
        <v>61</v>
      </c>
      <c r="C16" s="52"/>
      <c r="D16" s="52"/>
      <c r="E16" s="52"/>
      <c r="F16" s="52"/>
      <c r="G16" s="52"/>
    </row>
    <row r="17" spans="2:7" ht="14.1">
      <c r="B17" s="33" t="s">
        <v>62</v>
      </c>
      <c r="C17" s="35">
        <v>0.09</v>
      </c>
      <c r="D17" s="35">
        <v>0.09</v>
      </c>
      <c r="E17" s="35">
        <v>0.09</v>
      </c>
      <c r="F17" s="35">
        <v>0.09</v>
      </c>
      <c r="G17" s="35">
        <v>0.09</v>
      </c>
    </row>
    <row r="18" spans="2:7" ht="14.1">
      <c r="B18" s="33" t="s">
        <v>47</v>
      </c>
      <c r="C18" s="53"/>
      <c r="D18" s="53"/>
      <c r="E18" s="53"/>
      <c r="F18" s="53"/>
      <c r="G18" s="53"/>
    </row>
  </sheetData>
  <mergeCells count="1">
    <mergeCell ref="B3: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updated 2/24/2004</dc:title>
  <dc:subject/>
  <dc:creator>Microsoft Corporation</dc:creator>
  <cp:keywords/>
  <dc:description/>
  <cp:lastModifiedBy>María Paula Sánchez</cp:lastModifiedBy>
  <cp:revision/>
  <dcterms:created xsi:type="dcterms:W3CDTF">1996-10-14T23:33:28Z</dcterms:created>
  <dcterms:modified xsi:type="dcterms:W3CDTF">2024-08-15T23:10:01Z</dcterms:modified>
  <cp:category/>
  <cp:contentStatus/>
</cp:coreProperties>
</file>